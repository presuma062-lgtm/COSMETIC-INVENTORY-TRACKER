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DATA" sheetId="1" r:id="rId5"/>
    <sheet state="visible" name="SETTINGS_LIBRARY" sheetId="2" r:id="rId6"/>
  </sheets>
  <definedNames/>
  <calcPr/>
</workbook>
</file>

<file path=xl/sharedStrings.xml><?xml version="1.0" encoding="utf-8"?>
<sst xmlns="http://schemas.openxmlformats.org/spreadsheetml/2006/main" count="75" uniqueCount="46">
  <si>
    <t>PRODUCT NAME</t>
  </si>
  <si>
    <t>CATEGORY</t>
  </si>
  <si>
    <t>PLACE</t>
  </si>
  <si>
    <t>PRICE</t>
  </si>
  <si>
    <t>SIZE(ML/G)</t>
  </si>
  <si>
    <t>PRODUCT OPENED</t>
  </si>
  <si>
    <t xml:space="preserve">SHELF LIFE </t>
  </si>
  <si>
    <t>EDATE</t>
  </si>
  <si>
    <t>STATUS</t>
  </si>
  <si>
    <t>Total Inventory Value</t>
  </si>
  <si>
    <t>DIOR Forever Foundation</t>
  </si>
  <si>
    <t>FACE</t>
  </si>
  <si>
    <t>SEPHORA</t>
  </si>
  <si>
    <t>30ml</t>
  </si>
  <si>
    <t>Active Product Value</t>
  </si>
  <si>
    <t>TOWER 28 Concelear</t>
  </si>
  <si>
    <t>6.5ml</t>
  </si>
  <si>
    <t>Wasted Value</t>
  </si>
  <si>
    <t>RHODE Blush</t>
  </si>
  <si>
    <t>CHEEKS</t>
  </si>
  <si>
    <t>5.3gm</t>
  </si>
  <si>
    <t>Number if expired items</t>
  </si>
  <si>
    <t>ELF Eyeliner</t>
  </si>
  <si>
    <t>EYES</t>
  </si>
  <si>
    <t>CVS</t>
  </si>
  <si>
    <t>0.18 gm</t>
  </si>
  <si>
    <t>DIOR Eyeshadow Palette</t>
  </si>
  <si>
    <t>7 gm</t>
  </si>
  <si>
    <t>VALENTINO Lipstick</t>
  </si>
  <si>
    <t>LIPS</t>
  </si>
  <si>
    <t>3.4 gm</t>
  </si>
  <si>
    <t>LANCOME Mascara</t>
  </si>
  <si>
    <t>10ml</t>
  </si>
  <si>
    <t>CHARLOTTE TILBURY Lipgloss</t>
  </si>
  <si>
    <t>3.5ml</t>
  </si>
  <si>
    <t>RHODE Lipliner</t>
  </si>
  <si>
    <t>0.75gm</t>
  </si>
  <si>
    <t>CENTELLA Serum</t>
  </si>
  <si>
    <t>SKINCARE</t>
  </si>
  <si>
    <t>CENTELLA(OL)</t>
  </si>
  <si>
    <t>100ml</t>
  </si>
  <si>
    <t>MEDICUBE Serum</t>
  </si>
  <si>
    <t>MEDICUBE(OL)</t>
  </si>
  <si>
    <t>LANCOME Serum</t>
  </si>
  <si>
    <t>MACY'S</t>
  </si>
  <si>
    <t>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</si>
</sst>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yyyy-mm"/>
    <numFmt numFmtId="166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14" xfId="0" applyFont="1" applyNumberFormat="1"/>
    <xf borderId="0" fillId="0" fontId="3" numFmtId="0" xfId="0" applyFont="1"/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6" max="6" width="16.5"/>
    <col customWidth="1" min="7" max="9" width="36.63"/>
    <col customWidth="1" min="12" max="1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/>
      <c r="L2" s="1" t="s">
        <v>9</v>
      </c>
      <c r="M2" s="2">
        <f>SUM(D3:D100)</f>
        <v>506</v>
      </c>
    </row>
    <row r="3">
      <c r="A3" s="1" t="s">
        <v>10</v>
      </c>
      <c r="B3" s="1" t="s">
        <v>11</v>
      </c>
      <c r="C3" s="1" t="s">
        <v>12</v>
      </c>
      <c r="D3" s="1">
        <v>60.0</v>
      </c>
      <c r="E3" s="1" t="s">
        <v>13</v>
      </c>
      <c r="F3" s="3">
        <v>45807.0</v>
      </c>
      <c r="G3" s="4">
        <f>VLOOKUP(B3,SETTINGS_LIBRARY!A1:B7 , 2, FALSE)</f>
        <v>10</v>
      </c>
      <c r="H3" s="5">
        <f t="shared" ref="H3:H14" si="1">EDATE(F3, G3)</f>
        <v>46111</v>
      </c>
      <c r="I3" s="6" t="str">
        <f t="shared" ref="I3:I14" si="2">IF(H3 &lt; TODAY(), "EXPIRED", IF(H3 &lt;= EDATE(TODAY(), 1), "EXPIRING SOON", "ACTIVE"))</f>
        <v>EXPIRING SOON</v>
      </c>
      <c r="L3" s="1" t="s">
        <v>14</v>
      </c>
      <c r="M3" s="7">
        <f>SUMIF(I3:I100, "ACTIVE", D3:D100)</f>
        <v>421</v>
      </c>
    </row>
    <row r="4">
      <c r="A4" s="1" t="s">
        <v>15</v>
      </c>
      <c r="B4" s="1" t="s">
        <v>11</v>
      </c>
      <c r="C4" s="1" t="s">
        <v>12</v>
      </c>
      <c r="D4" s="1">
        <v>25.0</v>
      </c>
      <c r="E4" s="1" t="s">
        <v>16</v>
      </c>
      <c r="F4" s="3">
        <v>45778.0</v>
      </c>
      <c r="G4" s="4">
        <f>VLOOKUP(B4,SETTINGS_LIBRARY!A2:B8 , 2, FALSE)</f>
        <v>10</v>
      </c>
      <c r="H4" s="5">
        <f t="shared" si="1"/>
        <v>46082</v>
      </c>
      <c r="I4" s="6" t="str">
        <f t="shared" si="2"/>
        <v>EXPIRED</v>
      </c>
      <c r="L4" s="1" t="s">
        <v>17</v>
      </c>
      <c r="M4" s="2">
        <f>SUMIF(I3:I100, "EXPIRED", D3:D100)</f>
        <v>25</v>
      </c>
    </row>
    <row r="5">
      <c r="A5" s="1" t="s">
        <v>18</v>
      </c>
      <c r="B5" s="1" t="s">
        <v>19</v>
      </c>
      <c r="C5" s="1" t="s">
        <v>12</v>
      </c>
      <c r="D5" s="1">
        <v>25.0</v>
      </c>
      <c r="E5" s="1" t="s">
        <v>20</v>
      </c>
      <c r="F5" s="8">
        <v>45708.0</v>
      </c>
      <c r="G5" s="4">
        <f>VLOOKUP(B5,SETTINGS_LIBRARY!A3:B9 , 2, FALSE)</f>
        <v>24</v>
      </c>
      <c r="H5" s="5">
        <f t="shared" si="1"/>
        <v>46438</v>
      </c>
      <c r="I5" s="6" t="str">
        <f t="shared" si="2"/>
        <v>ACTIVE</v>
      </c>
      <c r="L5" s="1" t="s">
        <v>21</v>
      </c>
      <c r="M5" s="2">
        <f>COUNTIF(I3:I100, "EXPIRED")</f>
        <v>1</v>
      </c>
    </row>
    <row r="6">
      <c r="A6" s="1" t="s">
        <v>22</v>
      </c>
      <c r="B6" s="1" t="s">
        <v>23</v>
      </c>
      <c r="C6" s="1" t="s">
        <v>24</v>
      </c>
      <c r="D6" s="1">
        <v>5.0</v>
      </c>
      <c r="E6" s="1" t="s">
        <v>25</v>
      </c>
      <c r="F6" s="3">
        <v>45901.0</v>
      </c>
      <c r="G6" s="4">
        <f>VLOOKUP(B6,SETTINGS_LIBRARY!A4:B10 , 2, FALSE)</f>
        <v>12</v>
      </c>
      <c r="H6" s="5">
        <f t="shared" si="1"/>
        <v>46266</v>
      </c>
      <c r="I6" s="6" t="str">
        <f t="shared" si="2"/>
        <v>ACTIVE</v>
      </c>
    </row>
    <row r="7">
      <c r="A7" s="1" t="s">
        <v>26</v>
      </c>
      <c r="B7" s="1" t="s">
        <v>23</v>
      </c>
      <c r="C7" s="1" t="s">
        <v>12</v>
      </c>
      <c r="D7" s="1">
        <v>55.0</v>
      </c>
      <c r="E7" s="1" t="s">
        <v>27</v>
      </c>
      <c r="F7" s="9">
        <v>45907.0</v>
      </c>
      <c r="G7" s="4">
        <f>VLOOKUP(B7,SETTINGS_LIBRARY!A5:B11 , 2, FALSE)</f>
        <v>12</v>
      </c>
      <c r="H7" s="5">
        <f t="shared" si="1"/>
        <v>46272</v>
      </c>
      <c r="I7" s="6" t="str">
        <f t="shared" si="2"/>
        <v>ACTIVE</v>
      </c>
    </row>
    <row r="8">
      <c r="A8" s="1" t="s">
        <v>28</v>
      </c>
      <c r="B8" s="1" t="s">
        <v>29</v>
      </c>
      <c r="C8" s="1" t="s">
        <v>12</v>
      </c>
      <c r="D8" s="1">
        <v>49.0</v>
      </c>
      <c r="E8" s="1" t="s">
        <v>30</v>
      </c>
      <c r="F8" s="3">
        <v>46047.0</v>
      </c>
      <c r="G8" s="4">
        <f>VLOOKUP(B8,SETTINGS_LIBRARY!A6:B12 , 2, FALSE)</f>
        <v>24</v>
      </c>
      <c r="H8" s="5">
        <f t="shared" si="1"/>
        <v>46777</v>
      </c>
      <c r="I8" s="6" t="str">
        <f t="shared" si="2"/>
        <v>ACTIVE</v>
      </c>
    </row>
    <row r="9">
      <c r="A9" s="1" t="s">
        <v>31</v>
      </c>
      <c r="B9" s="1" t="s">
        <v>23</v>
      </c>
      <c r="C9" s="1" t="s">
        <v>12</v>
      </c>
      <c r="D9" s="1">
        <v>30.0</v>
      </c>
      <c r="E9" s="1" t="s">
        <v>32</v>
      </c>
      <c r="F9" s="3">
        <v>45875.0</v>
      </c>
      <c r="G9" s="4">
        <f>VLOOKUP(B9,SETTINGS_LIBRARY!A7:B13 , 2, FALSE)</f>
        <v>12</v>
      </c>
      <c r="H9" s="5">
        <f t="shared" si="1"/>
        <v>46240</v>
      </c>
      <c r="I9" s="6" t="str">
        <f t="shared" si="2"/>
        <v>ACTIVE</v>
      </c>
    </row>
    <row r="10">
      <c r="A10" s="1" t="s">
        <v>33</v>
      </c>
      <c r="B10" s="1" t="s">
        <v>29</v>
      </c>
      <c r="C10" s="1" t="s">
        <v>12</v>
      </c>
      <c r="D10" s="1">
        <v>37.0</v>
      </c>
      <c r="E10" s="1" t="s">
        <v>34</v>
      </c>
      <c r="F10" s="3">
        <v>46082.0</v>
      </c>
      <c r="G10" s="4">
        <f>VLOOKUP(B10,SETTINGS_LIBRARY!A8:B14 , 2, FALSE)</f>
        <v>24</v>
      </c>
      <c r="H10" s="5">
        <f t="shared" si="1"/>
        <v>46813</v>
      </c>
      <c r="I10" s="6" t="str">
        <f t="shared" si="2"/>
        <v>ACTIVE</v>
      </c>
    </row>
    <row r="11">
      <c r="A11" s="1" t="s">
        <v>35</v>
      </c>
      <c r="B11" s="1" t="s">
        <v>29</v>
      </c>
      <c r="C11" s="1" t="s">
        <v>12</v>
      </c>
      <c r="D11" s="1">
        <v>24.0</v>
      </c>
      <c r="E11" s="1" t="s">
        <v>36</v>
      </c>
      <c r="F11" s="3">
        <v>46082.0</v>
      </c>
      <c r="G11" s="4">
        <f>VLOOKUP(B11,SETTINGS_LIBRARY!A9:B15 , 2, FALSE)</f>
        <v>24</v>
      </c>
      <c r="H11" s="5">
        <f t="shared" si="1"/>
        <v>46813</v>
      </c>
      <c r="I11" s="6" t="str">
        <f t="shared" si="2"/>
        <v>ACTIVE</v>
      </c>
    </row>
    <row r="12">
      <c r="A12" s="1" t="s">
        <v>37</v>
      </c>
      <c r="B12" s="1" t="s">
        <v>38</v>
      </c>
      <c r="C12" s="1" t="s">
        <v>39</v>
      </c>
      <c r="D12" s="1">
        <v>20.0</v>
      </c>
      <c r="E12" s="1" t="s">
        <v>40</v>
      </c>
      <c r="F12" s="3">
        <v>45976.0</v>
      </c>
      <c r="G12" s="4">
        <f>VLOOKUP(B12,SETTINGS_LIBRARY!A10:B16 , 2, FALSE)</f>
        <v>12</v>
      </c>
      <c r="H12" s="5">
        <f t="shared" si="1"/>
        <v>46341</v>
      </c>
      <c r="I12" s="6" t="str">
        <f t="shared" si="2"/>
        <v>ACTIVE</v>
      </c>
    </row>
    <row r="13">
      <c r="A13" s="1" t="s">
        <v>41</v>
      </c>
      <c r="B13" s="1" t="s">
        <v>38</v>
      </c>
      <c r="C13" s="1" t="s">
        <v>42</v>
      </c>
      <c r="D13" s="1">
        <v>24.0</v>
      </c>
      <c r="E13" s="1" t="s">
        <v>13</v>
      </c>
      <c r="F13" s="3">
        <v>46027.0</v>
      </c>
      <c r="G13" s="4">
        <f>VLOOKUP(B13,SETTINGS_LIBRARY!A11:B17 , 2, FALSE)</f>
        <v>12</v>
      </c>
      <c r="H13" s="5">
        <f t="shared" si="1"/>
        <v>46392</v>
      </c>
      <c r="I13" s="6" t="str">
        <f t="shared" si="2"/>
        <v>ACTIVE</v>
      </c>
    </row>
    <row r="14">
      <c r="A14" s="1" t="s">
        <v>43</v>
      </c>
      <c r="B14" s="1" t="s">
        <v>38</v>
      </c>
      <c r="C14" s="1" t="s">
        <v>44</v>
      </c>
      <c r="D14" s="1">
        <v>152.0</v>
      </c>
      <c r="E14" s="1" t="s">
        <v>45</v>
      </c>
      <c r="F14" s="3">
        <v>46081.0</v>
      </c>
      <c r="G14" s="4">
        <f>VLOOKUP(B14,SETTINGS_LIBRARY!A12:B18 , 2, FALSE)</f>
        <v>12</v>
      </c>
      <c r="H14" s="5">
        <f t="shared" si="1"/>
        <v>46446</v>
      </c>
      <c r="I14" s="6" t="str">
        <f t="shared" si="2"/>
        <v>ACTIVE</v>
      </c>
    </row>
  </sheetData>
  <conditionalFormatting sqref="I3:I14">
    <cfRule type="containsText" dxfId="0" priority="1" operator="containsText" text="ACTIVE">
      <formula>NOT(ISERROR(SEARCH(("ACTIVE"),(I3))))</formula>
    </cfRule>
  </conditionalFormatting>
  <conditionalFormatting sqref="I3:I14">
    <cfRule type="colorScale" priority="2">
      <colorScale>
        <cfvo type="min"/>
        <cfvo type="max"/>
        <color rgb="FFFFFFFF"/>
        <color rgb="FFE67C73"/>
      </colorScale>
    </cfRule>
  </conditionalFormatting>
  <conditionalFormatting sqref="I3:I14">
    <cfRule type="containsText" dxfId="1" priority="3" operator="containsText" text="EXPIRING SOON">
      <formula>NOT(ISERROR(SEARCH(("EXPIRING SOON"),(I3))))</formula>
    </cfRule>
  </conditionalFormatting>
  <conditionalFormatting sqref="I3:I14">
    <cfRule type="containsText" dxfId="2" priority="4" operator="containsText" text="EXPIRED">
      <formula>NOT(ISERROR(SEARCH(("EXPIRED"),(I3))))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</row>
    <row r="3">
      <c r="A3" s="1" t="s">
        <v>11</v>
      </c>
      <c r="B3" s="1">
        <v>10.0</v>
      </c>
    </row>
    <row r="4">
      <c r="A4" s="1" t="s">
        <v>11</v>
      </c>
      <c r="B4" s="1">
        <v>10.0</v>
      </c>
    </row>
    <row r="5">
      <c r="A5" s="1" t="s">
        <v>19</v>
      </c>
      <c r="B5" s="1">
        <v>24.0</v>
      </c>
    </row>
    <row r="6">
      <c r="A6" s="1" t="s">
        <v>23</v>
      </c>
      <c r="B6" s="1">
        <v>12.0</v>
      </c>
    </row>
    <row r="7">
      <c r="A7" s="1" t="s">
        <v>23</v>
      </c>
      <c r="B7" s="1">
        <v>12.0</v>
      </c>
    </row>
    <row r="8">
      <c r="A8" s="1" t="s">
        <v>29</v>
      </c>
      <c r="B8" s="1">
        <v>24.0</v>
      </c>
    </row>
    <row r="9">
      <c r="A9" s="1" t="s">
        <v>23</v>
      </c>
      <c r="B9" s="1">
        <v>12.0</v>
      </c>
    </row>
    <row r="10">
      <c r="A10" s="1" t="s">
        <v>29</v>
      </c>
      <c r="B10" s="1">
        <v>24.0</v>
      </c>
    </row>
    <row r="11">
      <c r="A11" s="1" t="s">
        <v>29</v>
      </c>
      <c r="B11" s="1">
        <v>24.0</v>
      </c>
    </row>
    <row r="12">
      <c r="A12" s="1" t="s">
        <v>38</v>
      </c>
      <c r="B12" s="1">
        <v>12.0</v>
      </c>
    </row>
    <row r="13">
      <c r="A13" s="1" t="s">
        <v>38</v>
      </c>
      <c r="B13" s="1">
        <v>12.0</v>
      </c>
    </row>
    <row r="14">
      <c r="A14" s="1" t="s">
        <v>38</v>
      </c>
      <c r="B14" s="1">
        <v>12.0</v>
      </c>
    </row>
  </sheetData>
  <drawing r:id="rId1"/>
</worksheet>
</file>